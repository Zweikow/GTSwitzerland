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ce1c77a52818b67/GTSwitzerland/Administration - planning/"/>
    </mc:Choice>
  </mc:AlternateContent>
  <xr:revisionPtr revIDLastSave="13" documentId="8_{2F2E03FB-D304-44BF-B2CA-971BBD9EB970}" xr6:coauthVersionLast="47" xr6:coauthVersionMax="47" xr10:uidLastSave="{6DA270E3-11AD-44D1-A7D7-283C47EC53E7}"/>
  <bookViews>
    <workbookView xWindow="-120" yWindow="-120" windowWidth="29040" windowHeight="15720" activeTab="3" xr2:uid="{00000000-000D-0000-FFFF-FFFF00000000}"/>
  </bookViews>
  <sheets>
    <sheet name="Plan Financement 3 ans" sheetId="1" r:id="rId1"/>
    <sheet name="Tableau Financement Annuel" sheetId="2" r:id="rId2"/>
    <sheet name="Modèle Général" sheetId="3" r:id="rId3"/>
    <sheet name="Synthèse &amp; Graphiqu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D8" i="2"/>
  <c r="B10" i="1"/>
  <c r="D9" i="1"/>
  <c r="C9" i="1"/>
  <c r="D8" i="1"/>
  <c r="D10" i="1" s="1"/>
  <c r="C8" i="1"/>
  <c r="C10" i="1" s="1"/>
  <c r="B8" i="1"/>
</calcChain>
</file>

<file path=xl/sharedStrings.xml><?xml version="1.0" encoding="utf-8"?>
<sst xmlns="http://schemas.openxmlformats.org/spreadsheetml/2006/main" count="52" uniqueCount="46">
  <si>
    <t>Poste</t>
  </si>
  <si>
    <t>Année 1 (CHF)</t>
  </si>
  <si>
    <t>Année 2 (CHF)</t>
  </si>
  <si>
    <t>Année 3 (CHF)</t>
  </si>
  <si>
    <t>CAPITAL SOCIAL</t>
  </si>
  <si>
    <t>Apports complémentaires</t>
  </si>
  <si>
    <t>Emprunts bancaires</t>
  </si>
  <si>
    <t>Chiffre d'affaires</t>
  </si>
  <si>
    <t>Charges d'exploitation</t>
  </si>
  <si>
    <t>Investissements</t>
  </si>
  <si>
    <t>Résultat net prévisionnel</t>
  </si>
  <si>
    <t>Trésorerie initiale</t>
  </si>
  <si>
    <t>Trésorerie finale</t>
  </si>
  <si>
    <t>Début Exercice</t>
  </si>
  <si>
    <t>Fin Exercice</t>
  </si>
  <si>
    <t>Variation (+/-)</t>
  </si>
  <si>
    <t>Capital social</t>
  </si>
  <si>
    <t>Emprunts à long terme</t>
  </si>
  <si>
    <t>Immobilisations</t>
  </si>
  <si>
    <t>Résultat net</t>
  </si>
  <si>
    <t>Créances clients</t>
  </si>
  <si>
    <t>Dettes fournisseurs</t>
  </si>
  <si>
    <t>Variation trésorerie</t>
  </si>
  <si>
    <t>Rubrique</t>
  </si>
  <si>
    <t>Montant (CHF)</t>
  </si>
  <si>
    <t>Commentaires</t>
  </si>
  <si>
    <t>Apport des associés</t>
  </si>
  <si>
    <t>Apports en compte courant</t>
  </si>
  <si>
    <t>Emprunts</t>
  </si>
  <si>
    <t>Crédit bancaire éventuel</t>
  </si>
  <si>
    <t>Revenus prévus</t>
  </si>
  <si>
    <t>Charges fixes</t>
  </si>
  <si>
    <t>Salaires, loyers, abonnements</t>
  </si>
  <si>
    <t>Charges variables</t>
  </si>
  <si>
    <t>Fournitures, prestations externes</t>
  </si>
  <si>
    <t>Matériel, logiciels</t>
  </si>
  <si>
    <t>Résultat d’exploitation prévisionnel</t>
  </si>
  <si>
    <t>Indicateurs clés (Business Development Sàrl)</t>
  </si>
  <si>
    <t>Année</t>
  </si>
  <si>
    <t>Revenus (CHF)</t>
  </si>
  <si>
    <t>Dépenses (CHF)</t>
  </si>
  <si>
    <t>Résultat (CHF)</t>
  </si>
  <si>
    <t>Trésorerie cumulée (CHF)</t>
  </si>
  <si>
    <t>Année 1</t>
  </si>
  <si>
    <t>Année 2</t>
  </si>
  <si>
    <t>Année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</si>
</sst>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opLeftCell="A4" workbookViewId="0">
      <selection activeCell="D14" sqref="D14"/>
    </sheetView>
  </sheetViews>
  <sheetFormatPr baseColWidth="10" defaultColWidth="9.140625" defaultRowHeight="15" x14ac:dyDescent="0.2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20000</v>
      </c>
    </row>
    <row r="3" spans="1:4" x14ac:dyDescent="0.25">
      <c r="A3" t="s">
        <v>5</v>
      </c>
    </row>
    <row r="4" spans="1:4" x14ac:dyDescent="0.25">
      <c r="A4" t="s">
        <v>6</v>
      </c>
    </row>
    <row r="5" spans="1:4" x14ac:dyDescent="0.25">
      <c r="A5" t="s">
        <v>7</v>
      </c>
      <c r="B5">
        <v>30000</v>
      </c>
      <c r="C5">
        <v>60000</v>
      </c>
      <c r="D5">
        <v>75000</v>
      </c>
    </row>
    <row r="6" spans="1:4" x14ac:dyDescent="0.25">
      <c r="A6" t="s">
        <v>8</v>
      </c>
      <c r="B6">
        <v>-5000</v>
      </c>
      <c r="C6">
        <v>-5000</v>
      </c>
      <c r="D6">
        <v>-10000</v>
      </c>
    </row>
    <row r="7" spans="1:4" x14ac:dyDescent="0.25">
      <c r="A7" t="s">
        <v>9</v>
      </c>
      <c r="B7">
        <v>-20000</v>
      </c>
      <c r="C7">
        <v>0</v>
      </c>
      <c r="D7">
        <v>0</v>
      </c>
    </row>
    <row r="8" spans="1:4" x14ac:dyDescent="0.25">
      <c r="A8" t="s">
        <v>10</v>
      </c>
      <c r="B8">
        <f>SUM(B2:B6)</f>
        <v>45000</v>
      </c>
      <c r="C8">
        <f>SUM(C2:C6)</f>
        <v>55000</v>
      </c>
      <c r="D8">
        <f>SUM(D2:D6)</f>
        <v>65000</v>
      </c>
    </row>
    <row r="9" spans="1:4" x14ac:dyDescent="0.25">
      <c r="A9" t="s">
        <v>11</v>
      </c>
      <c r="B9">
        <v>0</v>
      </c>
      <c r="C9">
        <f>B7</f>
        <v>-20000</v>
      </c>
      <c r="D9">
        <f>C7</f>
        <v>0</v>
      </c>
    </row>
    <row r="10" spans="1:4" x14ac:dyDescent="0.25">
      <c r="A10" t="s">
        <v>12</v>
      </c>
      <c r="B10">
        <f>B8+B7</f>
        <v>25000</v>
      </c>
      <c r="C10">
        <f>C8+C7</f>
        <v>55000</v>
      </c>
      <c r="D10">
        <f>D8+D7</f>
        <v>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opLeftCell="A7" workbookViewId="0">
      <selection activeCell="C5" sqref="C5"/>
    </sheetView>
  </sheetViews>
  <sheetFormatPr baseColWidth="10" defaultColWidth="9.140625" defaultRowHeight="15" x14ac:dyDescent="0.25"/>
  <cols>
    <col min="1" max="4" width="25" customWidth="1"/>
  </cols>
  <sheetData>
    <row r="1" spans="1:4" x14ac:dyDescent="0.25">
      <c r="A1" t="s">
        <v>0</v>
      </c>
      <c r="B1" t="s">
        <v>13</v>
      </c>
      <c r="C1" t="s">
        <v>14</v>
      </c>
      <c r="D1" t="s">
        <v>15</v>
      </c>
    </row>
    <row r="2" spans="1:4" x14ac:dyDescent="0.25">
      <c r="A2" t="s">
        <v>16</v>
      </c>
      <c r="B2">
        <v>20000</v>
      </c>
      <c r="C2">
        <v>20000</v>
      </c>
      <c r="D2">
        <v>0</v>
      </c>
    </row>
    <row r="3" spans="1:4" x14ac:dyDescent="0.25">
      <c r="A3" t="s">
        <v>17</v>
      </c>
      <c r="B3">
        <v>0</v>
      </c>
      <c r="C3">
        <v>0</v>
      </c>
      <c r="D3">
        <v>0</v>
      </c>
    </row>
    <row r="4" spans="1:4" x14ac:dyDescent="0.25">
      <c r="A4" t="s">
        <v>18</v>
      </c>
      <c r="B4">
        <v>0</v>
      </c>
      <c r="C4">
        <v>10000</v>
      </c>
      <c r="D4">
        <v>-10000</v>
      </c>
    </row>
    <row r="5" spans="1:4" x14ac:dyDescent="0.25">
      <c r="A5" t="s">
        <v>19</v>
      </c>
      <c r="B5">
        <v>0</v>
      </c>
      <c r="C5">
        <v>30000</v>
      </c>
      <c r="D5">
        <v>30000</v>
      </c>
    </row>
    <row r="6" spans="1:4" x14ac:dyDescent="0.25">
      <c r="A6" t="s">
        <v>20</v>
      </c>
      <c r="B6">
        <v>5000</v>
      </c>
      <c r="C6">
        <v>8000</v>
      </c>
      <c r="D6">
        <v>-3000</v>
      </c>
    </row>
    <row r="7" spans="1:4" x14ac:dyDescent="0.25">
      <c r="A7" t="s">
        <v>21</v>
      </c>
      <c r="B7">
        <v>2000</v>
      </c>
      <c r="C7">
        <v>4000</v>
      </c>
      <c r="D7">
        <v>2000</v>
      </c>
    </row>
    <row r="8" spans="1:4" x14ac:dyDescent="0.25">
      <c r="A8" t="s">
        <v>22</v>
      </c>
      <c r="D8">
        <f>SUM(D2:D6)</f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opLeftCell="A7" workbookViewId="0">
      <selection activeCell="B9" sqref="B9"/>
    </sheetView>
  </sheetViews>
  <sheetFormatPr baseColWidth="10" defaultColWidth="9.140625" defaultRowHeight="15" x14ac:dyDescent="0.25"/>
  <cols>
    <col min="1" max="3" width="30" customWidth="1"/>
  </cols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16</v>
      </c>
      <c r="B2">
        <v>20000</v>
      </c>
      <c r="C2" t="s">
        <v>26</v>
      </c>
    </row>
    <row r="3" spans="1:3" x14ac:dyDescent="0.25">
      <c r="A3" t="s">
        <v>5</v>
      </c>
      <c r="C3" t="s">
        <v>27</v>
      </c>
    </row>
    <row r="4" spans="1:3" x14ac:dyDescent="0.25">
      <c r="A4" t="s">
        <v>28</v>
      </c>
      <c r="C4" t="s">
        <v>29</v>
      </c>
    </row>
    <row r="5" spans="1:3" x14ac:dyDescent="0.25">
      <c r="A5" t="s">
        <v>7</v>
      </c>
      <c r="B5">
        <v>30000</v>
      </c>
      <c r="C5" t="s">
        <v>30</v>
      </c>
    </row>
    <row r="6" spans="1:3" x14ac:dyDescent="0.25">
      <c r="A6" t="s">
        <v>31</v>
      </c>
      <c r="B6">
        <v>5000</v>
      </c>
      <c r="C6" t="s">
        <v>32</v>
      </c>
    </row>
    <row r="7" spans="1:3" x14ac:dyDescent="0.25">
      <c r="A7" t="s">
        <v>33</v>
      </c>
      <c r="B7">
        <v>3000</v>
      </c>
      <c r="C7" t="s">
        <v>34</v>
      </c>
    </row>
    <row r="8" spans="1:3" x14ac:dyDescent="0.25">
      <c r="A8" t="s">
        <v>9</v>
      </c>
      <c r="C8" t="s">
        <v>35</v>
      </c>
    </row>
    <row r="9" spans="1:3" x14ac:dyDescent="0.25">
      <c r="A9" t="s">
        <v>19</v>
      </c>
      <c r="B9">
        <f>SUM(B4:B6)-B7</f>
        <v>32000</v>
      </c>
      <c r="C9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5" width="25" customWidth="1"/>
  </cols>
  <sheetData>
    <row r="1" spans="1:5" x14ac:dyDescent="0.25">
      <c r="A1" t="s">
        <v>37</v>
      </c>
    </row>
    <row r="2" spans="1:5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</row>
    <row r="3" spans="1:5" x14ac:dyDescent="0.25">
      <c r="A3" t="s">
        <v>43</v>
      </c>
      <c r="B3">
        <v>80000</v>
      </c>
      <c r="C3">
        <v>60000</v>
      </c>
      <c r="D3">
        <v>20000</v>
      </c>
      <c r="E3">
        <v>20000</v>
      </c>
    </row>
    <row r="4" spans="1:5" x14ac:dyDescent="0.25">
      <c r="A4" t="s">
        <v>44</v>
      </c>
      <c r="B4">
        <v>120000</v>
      </c>
      <c r="C4">
        <v>75000</v>
      </c>
      <c r="D4">
        <v>45000</v>
      </c>
      <c r="E4">
        <v>65000</v>
      </c>
    </row>
    <row r="5" spans="1:5" x14ac:dyDescent="0.25">
      <c r="A5" t="s">
        <v>45</v>
      </c>
      <c r="B5">
        <v>160000</v>
      </c>
      <c r="C5">
        <v>95000</v>
      </c>
      <c r="D5">
        <v>65000</v>
      </c>
      <c r="E5">
        <v>130000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 Financement 3 ans</vt:lpstr>
      <vt:lpstr>Tableau Financement Annuel</vt:lpstr>
      <vt:lpstr>Modèle Général</vt:lpstr>
      <vt:lpstr>Synthèse &amp; Graphiques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Baeriswyl Bertrand</cp:lastModifiedBy>
  <dcterms:created xsi:type="dcterms:W3CDTF">2025-11-05T10:04:28Z</dcterms:created>
  <dcterms:modified xsi:type="dcterms:W3CDTF">2025-11-05T10:10:22Z</dcterms:modified>
</cp:coreProperties>
</file>